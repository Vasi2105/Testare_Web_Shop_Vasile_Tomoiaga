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30936" windowHeight="16776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Verdana"/>
      <b val="1"/>
      <color theme="1"/>
      <sz val="10"/>
    </font>
    <font>
      <name val="Verdana"/>
      <color theme="1"/>
      <sz val="10"/>
    </font>
    <font>
      <name val="Arial"/>
      <color theme="1"/>
      <sz val="10"/>
    </font>
    <font>
      <name val="Verdana"/>
      <color theme="1"/>
      <sz val="14"/>
    </font>
    <font>
      <name val="Arial"/>
      <sz val="10"/>
    </font>
    <font>
      <name val="Arial"/>
      <color theme="1"/>
      <sz val="14"/>
    </font>
    <font>
      <name val="Arial"/>
      <b val="1"/>
      <color theme="1"/>
      <sz val="14"/>
    </font>
    <font>
      <name val="Inconsolata"/>
      <b val="1"/>
      <color rgb="FF1155CC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2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3" fillId="0" borderId="5" pivotButton="0" quotePrefix="0" xfId="0"/>
    <xf numFmtId="0" fontId="3" fillId="0" borderId="1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2" fontId="8" fillId="3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5" pivotButton="0" quotePrefix="0" xfId="0"/>
    <xf numFmtId="0" fontId="9" fillId="2" borderId="1" applyAlignment="1" pivotButton="0" quotePrefix="0" xfId="0">
      <alignment vertical="top" wrapText="1"/>
    </xf>
    <xf numFmtId="0" fontId="9" fillId="2" borderId="2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3"/>
  <sheetViews>
    <sheetView tabSelected="1" zoomScale="115" zoomScaleNormal="115" workbookViewId="0">
      <pane ySplit="1" topLeftCell="A2" activePane="bottomLeft" state="frozen"/>
      <selection pane="bottomLeft" activeCell="C3" sqref="C3"/>
    </sheetView>
  </sheetViews>
  <sheetFormatPr baseColWidth="8" defaultColWidth="12.6640625" defaultRowHeight="15" customHeight="1"/>
  <cols>
    <col width="22" customWidth="1" min="1" max="1"/>
    <col width="46" customWidth="1" min="2" max="2"/>
    <col width="10" customWidth="1" min="3" max="4"/>
    <col width="10" customWidth="1" min="4" max="4"/>
    <col width="55" customWidth="1" min="5" max="5"/>
    <col width="28" customWidth="1" min="6" max="6"/>
    <col width="48" customWidth="1" min="7" max="7"/>
    <col width="22" customWidth="1" min="8" max="8"/>
    <col width="18" customWidth="1" min="9" max="9"/>
    <col width="12" customWidth="1" min="10" max="10"/>
  </cols>
  <sheetData>
    <row r="1" ht="69.75" customHeight="1">
      <c r="A1" s="24" t="inlineStr">
        <is>
          <t>Test Suite/Scenario</t>
        </is>
      </c>
      <c r="B1" s="24" t="inlineStr">
        <is>
          <t>TestCaseID - Title</t>
        </is>
      </c>
      <c r="C1" s="25" t="inlineStr">
        <is>
          <t>Priority</t>
        </is>
      </c>
      <c r="D1" s="26" t="inlineStr">
        <is>
          <t>Automated</t>
        </is>
      </c>
      <c r="E1" s="24" t="inlineStr">
        <is>
          <t>Test Steps</t>
        </is>
      </c>
      <c r="F1" s="24" t="inlineStr">
        <is>
          <t>Test Data</t>
        </is>
      </c>
      <c r="G1" s="24" t="inlineStr">
        <is>
          <t>Expected Result</t>
        </is>
      </c>
      <c r="H1" s="24" t="inlineStr">
        <is>
          <t>Actual Result</t>
        </is>
      </c>
      <c r="I1" s="24" t="inlineStr">
        <is>
          <t>Pass/Fail/Blocked</t>
        </is>
      </c>
      <c r="J1" s="24" t="inlineStr">
        <is>
          <t>BUG ID</t>
        </is>
      </c>
    </row>
    <row r="2" ht="75" customHeight="1">
      <c r="A2" s="28" t="inlineStr">
        <is>
          <t>Autentificare</t>
        </is>
      </c>
      <c r="B2" s="27" t="inlineStr">
        <is>
          <t>TC-LOGIN-001 - Autentificare reusita cu credentiale valide</t>
        </is>
      </c>
      <c r="C2" s="27" t="inlineStr">
        <is>
          <t>High</t>
        </is>
      </c>
      <c r="D2" s="27" t="inlineStr">
        <is>
          <t>No</t>
        </is>
      </c>
      <c r="E2" s="27" t="inlineStr">
        <is>
          <t>1. Acceseaza pagina de autentificare.
2. Introdu username valid.
3. Introdu parola valida.
4. Apasa butonul Login.</t>
        </is>
      </c>
      <c r="F2" s="27" t="inlineStr">
        <is>
          <t>username: standard_user; parola: secret_sauce</t>
        </is>
      </c>
      <c r="G2" s="27" t="inlineStr">
        <is>
          <t>Utilizatorul se autentifica cu succes si este redirectionat catre pagina principala a produselor.</t>
        </is>
      </c>
      <c r="H2" s="27" t="inlineStr"/>
      <c r="I2" s="27" t="inlineStr"/>
      <c r="J2" s="27" t="inlineStr"/>
    </row>
    <row r="3" ht="81" customHeight="1">
      <c r="A3" t="inlineStr">
        <is>
          <t>Autentificare</t>
        </is>
      </c>
      <c r="B3" s="27" t="inlineStr">
        <is>
          <t>TC-LOGIN-002 - Autentificare esuata cu username invalid</t>
        </is>
      </c>
      <c r="C3" s="27" t="inlineStr">
        <is>
          <t>High</t>
        </is>
      </c>
      <c r="D3" s="27" t="inlineStr">
        <is>
          <t>No</t>
        </is>
      </c>
      <c r="E3" s="27" t="inlineStr">
        <is>
          <t>1. Acceseaza pagina de autentificare.
2. Introdu un username invalid.
3. Introdu o parola valida.
4. Apasa Login.</t>
        </is>
      </c>
      <c r="F3" s="27" t="inlineStr">
        <is>
          <t>username: invalid_user; parola: secret_sauce</t>
        </is>
      </c>
      <c r="G3" s="27" t="inlineStr">
        <is>
          <t>Autentificarea esueaza si se afiseaza un mesaj de eroare relevant (ex.: „Epic sadface: Username and password do not match any user in this service”).</t>
        </is>
      </c>
      <c r="H3" s="27" t="inlineStr"/>
      <c r="I3" s="27" t="inlineStr"/>
      <c r="J3" s="27" t="inlineStr"/>
    </row>
    <row r="4" ht="96.75" customHeight="1">
      <c r="A4" t="inlineStr">
        <is>
          <t>Autentificare</t>
        </is>
      </c>
      <c r="B4" s="27" t="inlineStr">
        <is>
          <t>TC-LOGIN-003 - Autentificare esuata cu parola invalida</t>
        </is>
      </c>
      <c r="C4" s="27" t="inlineStr">
        <is>
          <t>High</t>
        </is>
      </c>
      <c r="D4" s="27" t="inlineStr">
        <is>
          <t>No</t>
        </is>
      </c>
      <c r="E4" s="27" t="inlineStr">
        <is>
          <t>1. Acceseaza pagina de autentificare.
2. Introdu un username valid.
3. Introdu o parola invalida.
4. Apasa Login.</t>
        </is>
      </c>
      <c r="F4" s="27" t="inlineStr">
        <is>
          <t>username: standard_user; parola: gresita123</t>
        </is>
      </c>
      <c r="G4" s="27" t="inlineStr">
        <is>
          <t>Autentificarea esueaza si se afiseaza un mesaj de eroare relevant.</t>
        </is>
      </c>
      <c r="H4" s="27" t="inlineStr"/>
      <c r="I4" s="27" t="inlineStr"/>
      <c r="J4" s="27" t="inlineStr"/>
    </row>
    <row r="5" ht="81" customHeight="1">
      <c r="A5" s="27" t="inlineStr">
        <is>
          <t>Autentificare</t>
        </is>
      </c>
      <c r="B5" s="27" t="inlineStr">
        <is>
          <t>TC-LOGIN-004 - Autentificare esuata cu username si parola invalide</t>
        </is>
      </c>
      <c r="C5" s="27" t="inlineStr">
        <is>
          <t>High</t>
        </is>
      </c>
      <c r="D5" s="27" t="inlineStr">
        <is>
          <t>No</t>
        </is>
      </c>
      <c r="E5" s="27" t="inlineStr">
        <is>
          <t>1. Acceseaza pagina de autentificare.
2. Introdu un username invalid.
3. Introdu o parola invalida.
4. Apasa Login.</t>
        </is>
      </c>
      <c r="F5" s="27" t="inlineStr">
        <is>
          <t>username: invalid_user; parola: invalid_pass</t>
        </is>
      </c>
      <c r="G5" s="27" t="inlineStr">
        <is>
          <t>Autentificarea esueaza si se afiseaza un mesaj de eroare relevant.</t>
        </is>
      </c>
      <c r="H5" s="27" t="inlineStr"/>
      <c r="I5" s="27" t="inlineStr"/>
      <c r="J5" s="27" t="inlineStr"/>
    </row>
    <row r="6" ht="83.25" customHeight="1">
      <c r="A6" s="27" t="inlineStr">
        <is>
          <t>Autentificare</t>
        </is>
      </c>
      <c r="B6" s="27" t="inlineStr">
        <is>
          <t>TC-LOGIN-005 - Validare: camp Username gol</t>
        </is>
      </c>
      <c r="C6" s="27" t="inlineStr">
        <is>
          <t>High</t>
        </is>
      </c>
      <c r="D6" s="27" t="inlineStr">
        <is>
          <t>No</t>
        </is>
      </c>
      <c r="E6" s="27" t="inlineStr">
        <is>
          <t>1. Acceseaza pagina de autentificare.
2. Lasa campul Username gol.
3. Introdu o parola valida.
4. Apasa Login.</t>
        </is>
      </c>
      <c r="F6" s="27" t="inlineStr">
        <is>
          <t>username: (gol); parola: secret_sauce</t>
        </is>
      </c>
      <c r="G6" s="27" t="inlineStr">
        <is>
          <t>Autentificarea esueaza si se afiseaza un mesaj de eroare clar pentru date incomplete/incorecte.</t>
        </is>
      </c>
      <c r="H6" s="27" t="inlineStr"/>
      <c r="I6" s="27" t="inlineStr"/>
      <c r="J6" s="27" t="inlineStr"/>
    </row>
    <row r="7" ht="83.25" customHeight="1">
      <c r="A7" s="27" t="inlineStr">
        <is>
          <t>Autentificare</t>
        </is>
      </c>
      <c r="B7" s="27" t="inlineStr">
        <is>
          <t>TC-LOGIN-006 - Validare: camp Password gol</t>
        </is>
      </c>
      <c r="C7" s="27" t="inlineStr">
        <is>
          <t>High</t>
        </is>
      </c>
      <c r="D7" s="27" t="inlineStr">
        <is>
          <t>No</t>
        </is>
      </c>
      <c r="E7" s="27" t="inlineStr">
        <is>
          <t>1. Acceseaza pagina de autentificare.
2. Introdu un username valid.
3. Lasa campul Password gol.
4. Apasa Login.</t>
        </is>
      </c>
      <c r="F7" s="27" t="inlineStr">
        <is>
          <t>username: standard_user; parola: (gol)</t>
        </is>
      </c>
      <c r="G7" s="27" t="inlineStr">
        <is>
          <t>Autentificarea esueaza si se afiseaza un mesaj de eroare clar pentru date incomplete/incorecte.</t>
        </is>
      </c>
      <c r="H7" s="27" t="inlineStr"/>
      <c r="I7" s="27" t="inlineStr"/>
      <c r="J7" s="27" t="inlineStr"/>
    </row>
    <row r="8" ht="66.75" customHeight="1">
      <c r="A8" s="27" t="inlineStr">
        <is>
          <t>Autentificare</t>
        </is>
      </c>
      <c r="B8" s="27" t="inlineStr">
        <is>
          <t>TC-LOGIN-007 - Parola este mascata la tastare</t>
        </is>
      </c>
      <c r="C8" s="27" t="inlineStr">
        <is>
          <t>Medium</t>
        </is>
      </c>
      <c r="D8" s="27" t="inlineStr">
        <is>
          <t>No</t>
        </is>
      </c>
      <c r="E8" s="27" t="inlineStr">
        <is>
          <t>1. Acceseaza pagina de autentificare.
2. Introdu orice parola in campul Password.
3. Observa afisarea caracterelor in camp.</t>
        </is>
      </c>
      <c r="F8" s="27" t="inlineStr">
        <is>
          <t>parola: secret_sauce</t>
        </is>
      </c>
      <c r="G8" s="27" t="inlineStr">
        <is>
          <t>Caracterele parolei nu sunt afisate in clar (sunt mascate cu punct/stea).</t>
        </is>
      </c>
      <c r="H8" s="27" t="inlineStr"/>
      <c r="I8" s="27" t="inlineStr"/>
      <c r="J8" s="27" t="inlineStr"/>
    </row>
    <row r="9" ht="74.25" customHeight="1">
      <c r="A9" s="27" t="inlineStr">
        <is>
          <t>Autentificare</t>
        </is>
      </c>
      <c r="B9" s="27" t="inlineStr">
        <is>
          <t>TC-LOGIN-008 - Logout reusit si redirect la autentificare</t>
        </is>
      </c>
      <c r="C9" s="27" t="inlineStr">
        <is>
          <t>High</t>
        </is>
      </c>
      <c r="D9" s="27" t="inlineStr">
        <is>
          <t>No</t>
        </is>
      </c>
      <c r="E9" s="27" t="inlineStr">
        <is>
          <t>1. Autentifica-te cu un utilizator valid.
2. Acceseaza meniul aplicatiei.
3. Apasa Logout.</t>
        </is>
      </c>
      <c r="F9" s="27" t="inlineStr">
        <is>
          <t>username: standard_user; parola: secret_sauce</t>
        </is>
      </c>
      <c r="G9" s="27" t="inlineStr">
        <is>
          <t>Utilizatorul este delogat cu succes si este redirectionat catre pagina de autentificare.</t>
        </is>
      </c>
      <c r="H9" s="27" t="inlineStr"/>
      <c r="I9" s="27" t="inlineStr"/>
      <c r="J9" s="27" t="inlineStr"/>
    </row>
    <row r="10" ht="69.75" customHeight="1">
      <c r="A10" s="27" t="inlineStr">
        <is>
          <t>Lista produse</t>
        </is>
      </c>
      <c r="B10" s="27" t="inlineStr">
        <is>
          <t>TC-PROD-001 - Afisare lista produse: imagine, nume, pret, buton Add to cart</t>
        </is>
      </c>
      <c r="C10" s="27" t="inlineStr">
        <is>
          <t>High</t>
        </is>
      </c>
      <c r="D10" s="27" t="inlineStr">
        <is>
          <t>No</t>
        </is>
      </c>
      <c r="E10" s="27" t="inlineStr">
        <is>
          <t>1. Autentifica-te in aplicatie.
2. Acceseaza pagina principala a produselor.
3. Verifica pentru fiecare produs existenta: imagine, nume, pret, buton Add to cart.</t>
        </is>
      </c>
      <c r="F10" s="27" t="inlineStr">
        <is>
          <t>username: standard_user; parola: secret_sauce</t>
        </is>
      </c>
      <c r="G10" s="27" t="inlineStr">
        <is>
          <t>Lista de produse este afisata complet. Fiecare produs are imagine, nume, pret si buton de adaugare in cos.</t>
        </is>
      </c>
      <c r="H10" s="27" t="inlineStr"/>
      <c r="I10" s="27" t="inlineStr"/>
      <c r="J10" s="27" t="inlineStr"/>
    </row>
    <row r="11" ht="87.75" customHeight="1">
      <c r="A11" s="27" t="inlineStr">
        <is>
          <t>Lista produse</t>
        </is>
      </c>
      <c r="B11" s="27" t="inlineStr">
        <is>
          <t>TC-PROD-002 - UI: produsele sunt afisate corect fara suprapuneri/elemente lipsa</t>
        </is>
      </c>
      <c r="C11" s="27" t="inlineStr">
        <is>
          <t>Medium</t>
        </is>
      </c>
      <c r="D11" s="27" t="inlineStr">
        <is>
          <t>No</t>
        </is>
      </c>
      <c r="E11" s="27" t="inlineStr">
        <is>
          <t>1. Autentifica-te in aplicatie.
2. Acceseaza pagina produselor.
3. Deruleaza pagina (scroll) pana la final.
4. Verifica vizual ca nu exista elemente suprapuse si nu lipsesc componente.</t>
        </is>
      </c>
      <c r="F11" s="27" t="inlineStr">
        <is>
          <t>username: standard_user; parola: secret_sauce</t>
        </is>
      </c>
      <c r="G11" s="27" t="inlineStr">
        <is>
          <t>Produsele sunt afisate corect, fara suprapuneri sau elemente lipsa.</t>
        </is>
      </c>
      <c r="H11" s="27" t="inlineStr"/>
      <c r="I11" s="27" t="inlineStr"/>
      <c r="J11" s="27" t="inlineStr"/>
    </row>
    <row r="12" ht="69" customHeight="1">
      <c r="A12" s="27" t="inlineStr">
        <is>
          <t>Lista produse</t>
        </is>
      </c>
      <c r="B12" s="27" t="inlineStr">
        <is>
          <t>TC-PROD-003 - Sortare dupa pret: ascendent</t>
        </is>
      </c>
      <c r="C12" s="27" t="inlineStr">
        <is>
          <t>High</t>
        </is>
      </c>
      <c r="D12" s="27" t="inlineStr">
        <is>
          <t>No</t>
        </is>
      </c>
      <c r="E12" s="27" t="inlineStr">
        <is>
          <t>1. Autentifica-te in aplicatie.
2. Acceseaza pagina produselor.
3. Selecteaza sortarea dupa pret ascendent.
4. Verifica ordinea produselor dupa pret (crescator).</t>
        </is>
      </c>
      <c r="F12" s="27" t="inlineStr">
        <is>
          <t>username: standard_user; parola: secret_sauce</t>
        </is>
      </c>
      <c r="G12" s="27" t="inlineStr">
        <is>
          <t>Produsele sunt sortate corect dupa pret in ordine crescatoare.</t>
        </is>
      </c>
      <c r="H12" s="27" t="inlineStr"/>
      <c r="I12" s="27" t="inlineStr"/>
      <c r="J12" s="27" t="inlineStr"/>
    </row>
    <row r="13" ht="69.75" customHeight="1">
      <c r="A13" s="27" t="inlineStr">
        <is>
          <t>Lista produse</t>
        </is>
      </c>
      <c r="B13" s="27" t="inlineStr">
        <is>
          <t>TC-PROD-004 - Sortare dupa pret: descendent</t>
        </is>
      </c>
      <c r="C13" s="27" t="inlineStr">
        <is>
          <t>High</t>
        </is>
      </c>
      <c r="D13" s="27" t="inlineStr">
        <is>
          <t>No</t>
        </is>
      </c>
      <c r="E13" s="27" t="inlineStr">
        <is>
          <t>1. Autentifica-te in aplicatie.
2. Acceseaza pagina produselor.
3. Selecteaza sortarea dupa pret descendent.
4. Verifica ordinea produselor dupa pret (descrescator).</t>
        </is>
      </c>
      <c r="F13" s="27" t="inlineStr">
        <is>
          <t>username: standard_user; parola: secret_sauce</t>
        </is>
      </c>
      <c r="G13" s="27" t="inlineStr">
        <is>
          <t>Produsele sunt sortate corect dupa pret in ordine descrescatoare.</t>
        </is>
      </c>
      <c r="H13" s="27" t="inlineStr"/>
      <c r="I13" s="27" t="inlineStr"/>
      <c r="J13" s="27" t="inlineStr"/>
    </row>
    <row r="14" ht="69" customHeight="1">
      <c r="A14" s="27" t="inlineStr">
        <is>
          <t>Lista produse</t>
        </is>
      </c>
      <c r="B14" s="27" t="inlineStr">
        <is>
          <t>TC-PROD-005 - Sortare dupa nume: ascendent (A-Z)</t>
        </is>
      </c>
      <c r="C14" s="27" t="inlineStr">
        <is>
          <t>High</t>
        </is>
      </c>
      <c r="D14" s="27" t="inlineStr">
        <is>
          <t>No</t>
        </is>
      </c>
      <c r="E14" s="27" t="inlineStr">
        <is>
          <t>1. Autentifica-te in aplicatie.
2. Acceseaza pagina produselor.
3. Selecteaza sortarea dupa nume ascendent.
4. Verifica ordinea produselor dupa nume (A-Z).</t>
        </is>
      </c>
      <c r="F14" s="27" t="inlineStr">
        <is>
          <t>username: standard_user; parola: secret_sauce</t>
        </is>
      </c>
      <c r="G14" s="27" t="inlineStr">
        <is>
          <t>Produsele sunt sortate corect dupa nume in ordine A-Z.</t>
        </is>
      </c>
      <c r="H14" s="27" t="inlineStr"/>
      <c r="I14" s="27" t="inlineStr"/>
      <c r="J14" s="27" t="inlineStr"/>
    </row>
    <row r="15" ht="54" customHeight="1">
      <c r="A15" s="27" t="inlineStr">
        <is>
          <t>Lista produse</t>
        </is>
      </c>
      <c r="B15" s="27" t="inlineStr">
        <is>
          <t>TC-PROD-006 - Sortare dupa nume: descendent (Z-A)</t>
        </is>
      </c>
      <c r="C15" s="27" t="inlineStr">
        <is>
          <t>High</t>
        </is>
      </c>
      <c r="D15" s="27" t="inlineStr">
        <is>
          <t>No</t>
        </is>
      </c>
      <c r="E15" s="27" t="inlineStr">
        <is>
          <t>1. Autentifica-te in aplicatie.
2. Acceseaza pagina produselor.
3. Selecteaza sortarea dupa nume descendent.
4. Verifica ordinea produselor dupa nume (Z-A).</t>
        </is>
      </c>
      <c r="F15" s="27" t="inlineStr">
        <is>
          <t>username: standard_user; parola: secret_sauce</t>
        </is>
      </c>
      <c r="G15" s="27" t="inlineStr">
        <is>
          <t>Produsele sunt sortate corect dupa nume in ordine Z-A.</t>
        </is>
      </c>
      <c r="H15" s="27" t="inlineStr"/>
      <c r="I15" s="27" t="inlineStr"/>
      <c r="J15" s="27" t="inlineStr"/>
    </row>
    <row r="16" ht="58.5" customHeight="1">
      <c r="A16" s="27" t="inlineStr">
        <is>
          <t>Lista produse</t>
        </is>
      </c>
      <c r="B16" s="27" t="inlineStr">
        <is>
          <t>TC-PROD-007 - Persistenta sortarii la refresh (comportament consecvent)</t>
        </is>
      </c>
      <c r="C16" s="27" t="inlineStr">
        <is>
          <t>Medium</t>
        </is>
      </c>
      <c r="D16" s="27" t="inlineStr">
        <is>
          <t>No</t>
        </is>
      </c>
      <c r="E16" s="27" t="inlineStr">
        <is>
          <t>1. Autentifica-te in aplicatie.
2. Acceseaza pagina produselor.
3. Aplica o sortare (ex.: pret descendent).
4. Da refresh la pagina.
5. Verifica daca afisarea ramane consecventa (fara erori/afisare incorecta).</t>
        </is>
      </c>
      <c r="F16" s="27" t="inlineStr">
        <is>
          <t>username: standard_user; parola: secret_sauce</t>
        </is>
      </c>
      <c r="G16" s="27" t="inlineStr">
        <is>
          <t>Comportamentul la refresh este consecvent (nu apar erori; lista ramane coerenta si utilizabila).</t>
        </is>
      </c>
      <c r="H16" s="27" t="inlineStr"/>
      <c r="I16" s="27" t="inlineStr"/>
      <c r="J16" s="27" t="inlineStr"/>
    </row>
    <row r="17" ht="61.5" customHeight="1">
      <c r="A17" s="27" t="inlineStr">
        <is>
          <t>Lista produse</t>
        </is>
      </c>
      <c r="B17" s="27" t="inlineStr">
        <is>
          <t>TC-PROD-008 - Buton Add to cart este actionabil pentru produse multiple</t>
        </is>
      </c>
      <c r="C17" s="27" t="inlineStr">
        <is>
          <t>High</t>
        </is>
      </c>
      <c r="D17" s="27" t="inlineStr">
        <is>
          <t>No</t>
        </is>
      </c>
      <c r="E17" s="27" t="inlineStr">
        <is>
          <t>1. Autentifica-te in aplicatie.
2. Acceseaza pagina produselor.
3. Apasa Add to cart pentru 3 produse diferite.</t>
        </is>
      </c>
      <c r="F17" s="27" t="inlineStr">
        <is>
          <t>username: standard_user; parola: secret_sauce</t>
        </is>
      </c>
      <c r="G17" s="27" t="inlineStr">
        <is>
          <t>Toate cele 3 produse pot fi adaugate in cos fara erori.</t>
        </is>
      </c>
      <c r="H17" s="27" t="inlineStr"/>
      <c r="I17" s="27" t="inlineStr"/>
      <c r="J17" s="27" t="inlineStr"/>
    </row>
    <row r="18" ht="60.75" customHeight="1">
      <c r="A18" s="27" t="inlineStr">
        <is>
          <t>Cos de cumparaturi</t>
        </is>
      </c>
      <c r="B18" s="27" t="inlineStr">
        <is>
          <t>TC-CART-001 - Adaugare produs in cos din lista produse</t>
        </is>
      </c>
      <c r="C18" s="27" t="inlineStr">
        <is>
          <t>High</t>
        </is>
      </c>
      <c r="D18" s="27" t="inlineStr">
        <is>
          <t>No</t>
        </is>
      </c>
      <c r="E18" s="27" t="inlineStr">
        <is>
          <t>1. Autentifica-te in aplicatie.
2. Acceseaza pagina produselor.
3. Apasa Add to cart pentru un produs.
4. Acceseaza cosul de cumparaturi.</t>
        </is>
      </c>
      <c r="F18" s="27" t="inlineStr">
        <is>
          <t>Produs: orice produs disponibil</t>
        </is>
      </c>
      <c r="G18" s="27" t="inlineStr">
        <is>
          <t>Produsul selectat apare in cos.</t>
        </is>
      </c>
      <c r="H18" s="27" t="inlineStr"/>
      <c r="I18" s="27" t="inlineStr"/>
      <c r="J18" s="27" t="inlineStr"/>
    </row>
    <row r="19" ht="65.25" customHeight="1">
      <c r="A19" s="27" t="inlineStr">
        <is>
          <t>Cos de cumparaturi</t>
        </is>
      </c>
      <c r="B19" s="27" t="inlineStr">
        <is>
          <t>TC-CART-002 - Badge cos: numarul de articole se actualizeaza la adaugare</t>
        </is>
      </c>
      <c r="C19" s="27" t="inlineStr">
        <is>
          <t>High</t>
        </is>
      </c>
      <c r="D19" s="27" t="inlineStr">
        <is>
          <t>No</t>
        </is>
      </c>
      <c r="E19" s="27" t="inlineStr">
        <is>
          <t>1. Autentifica-te in aplicatie.
2. Verifica badge-ul cosului initial.
3. Adauga 1 produs in cos.
4. Verifica badge-ul cosului dupa adaugare.</t>
        </is>
      </c>
      <c r="F19" s="27" t="inlineStr">
        <is>
          <t>Adauga 1 produs</t>
        </is>
      </c>
      <c r="G19" s="27" t="inlineStr">
        <is>
          <t>Badge-ul cosului se actualizeaza corespunzator (+1).</t>
        </is>
      </c>
      <c r="H19" s="27" t="inlineStr"/>
      <c r="I19" s="27" t="inlineStr"/>
      <c r="J19" s="27" t="inlineStr"/>
    </row>
    <row r="20" ht="66.75" customHeight="1">
      <c r="A20" s="27" t="inlineStr">
        <is>
          <t>Cos de cumparaturi</t>
        </is>
      </c>
      <c r="B20" s="27" t="inlineStr">
        <is>
          <t>TC-CART-003 - Badge cos: numarul de articole se actualizeaza la eliminare</t>
        </is>
      </c>
      <c r="C20" s="27" t="inlineStr">
        <is>
          <t>High</t>
        </is>
      </c>
      <c r="D20" s="27" t="inlineStr">
        <is>
          <t>No</t>
        </is>
      </c>
      <c r="E20" s="27" t="inlineStr">
        <is>
          <t>1. Autentifica-te in aplicatie.
2. Adauga 2 produse in cos.
3. Acceseaza cosul.
4. Elimina 1 produs.
5. Verifica badge-ul cosului.</t>
        </is>
      </c>
      <c r="F20" s="27" t="inlineStr">
        <is>
          <t>Adauga 2 produse, elimina 1</t>
        </is>
      </c>
      <c r="G20" s="27" t="inlineStr">
        <is>
          <t>Badge-ul cosului reflecta corect numarul curent de articole dupa eliminare.</t>
        </is>
      </c>
      <c r="H20" s="27" t="inlineStr"/>
      <c r="I20" s="27" t="inlineStr"/>
      <c r="J20" s="27" t="inlineStr"/>
    </row>
    <row r="21" ht="65.25" customHeight="1">
      <c r="A21" s="27" t="inlineStr">
        <is>
          <t>Cos de cumparaturi</t>
        </is>
      </c>
      <c r="B21" s="27" t="inlineStr">
        <is>
          <t>TC-CART-004 - Eliminare produs individual din cos</t>
        </is>
      </c>
      <c r="C21" s="27" t="inlineStr">
        <is>
          <t>High</t>
        </is>
      </c>
      <c r="D21" s="27" t="inlineStr">
        <is>
          <t>No</t>
        </is>
      </c>
      <c r="E21" s="27" t="inlineStr">
        <is>
          <t>1. Autentifica-te in aplicatie.
2. Adauga un produs in cos.
3. Acceseaza cosul.
4. Apasa Remove pentru produs.</t>
        </is>
      </c>
      <c r="F21" s="27" t="inlineStr">
        <is>
          <t>Produs: orice produs disponibil</t>
        </is>
      </c>
      <c r="G21" s="27" t="inlineStr">
        <is>
          <t>Produsul este eliminat din cos, fara erori.</t>
        </is>
      </c>
      <c r="H21" s="27" t="inlineStr"/>
      <c r="I21" s="27" t="inlineStr"/>
      <c r="J21" s="27" t="inlineStr"/>
    </row>
    <row r="22" ht="61.5" customHeight="1">
      <c r="A22" s="27" t="inlineStr">
        <is>
          <t>Cos de cumparaturi</t>
        </is>
      </c>
      <c r="B22" s="27" t="inlineStr">
        <is>
          <t>TC-CART-005 - Continue Shopping revine la pagina produse</t>
        </is>
      </c>
      <c r="C22" s="27" t="inlineStr">
        <is>
          <t>Medium</t>
        </is>
      </c>
      <c r="D22" s="27" t="inlineStr">
        <is>
          <t>No</t>
        </is>
      </c>
      <c r="E22" s="27" t="inlineStr">
        <is>
          <t>1. Autentifica-te in aplicatie.
2. Adauga cel putin un produs in cos.
3. Acceseaza cosul.
4. Apasa Continue Shopping.</t>
        </is>
      </c>
      <c r="F22" s="27" t="inlineStr">
        <is>
          <t>Cel putin 1 produs in cos</t>
        </is>
      </c>
      <c r="G22" s="27" t="inlineStr">
        <is>
          <t>Utilizatorul este redirectionat inapoi la pagina produselor.</t>
        </is>
      </c>
      <c r="H22" s="27" t="inlineStr"/>
      <c r="I22" s="27" t="inlineStr"/>
      <c r="J22" s="27" t="inlineStr"/>
    </row>
    <row r="23" ht="66.75" customHeight="1">
      <c r="A23" s="27" t="inlineStr">
        <is>
          <t>Cos de cumparaturi</t>
        </is>
      </c>
      <c r="B23" s="27" t="inlineStr">
        <is>
          <t>TC-CART-006 - Checkout din cos duce la pagina de checkout</t>
        </is>
      </c>
      <c r="C23" s="27" t="inlineStr">
        <is>
          <t>High</t>
        </is>
      </c>
      <c r="D23" s="27" t="inlineStr">
        <is>
          <t>No</t>
        </is>
      </c>
      <c r="E23" s="27" t="inlineStr">
        <is>
          <t>1. Autentifica-te in aplicatie.
2. Adauga cel putin un produs in cos.
3. Acceseaza cosul.
4. Apasa Checkout.</t>
        </is>
      </c>
      <c r="F23" s="27" t="inlineStr">
        <is>
          <t>Cel putin 1 produs in cos</t>
        </is>
      </c>
      <c r="G23" s="27" t="inlineStr">
        <is>
          <t>Utilizatorul este redirectionat catre pagina de checkout (formular livrare).</t>
        </is>
      </c>
      <c r="H23" s="27" t="inlineStr"/>
      <c r="I23" s="27" t="inlineStr"/>
      <c r="J23" s="27" t="inlineStr"/>
    </row>
    <row r="24" ht="56.25" customHeight="1">
      <c r="A24" s="27" t="inlineStr">
        <is>
          <t>Checkout</t>
        </is>
      </c>
      <c r="B24" s="27" t="inlineStr">
        <is>
          <t>TC-CHK-001 - Formular checkout accepta date valide</t>
        </is>
      </c>
      <c r="C24" s="27" t="inlineStr">
        <is>
          <t>High</t>
        </is>
      </c>
      <c r="D24" s="27" t="inlineStr">
        <is>
          <t>No</t>
        </is>
      </c>
      <c r="E24" s="27" t="inlineStr">
        <is>
          <t>1. Autentifica-te in aplicatie.
2. Adauga un produs in cos si intra in Checkout.
3. Completeaza First Name, Last Name, Zip/Postal Code cu valori valide.
4. Apasa Continue.</t>
        </is>
      </c>
      <c r="F24" s="27" t="inlineStr">
        <is>
          <t>First Name: Ion; Last Name: Popescu; Zip: 123456</t>
        </is>
      </c>
      <c r="G24" s="27" t="inlineStr">
        <is>
          <t>Formularul este acceptat si utilizatorul avanseaza la pasul urmator din checkout, fara erori.</t>
        </is>
      </c>
      <c r="H24" s="27" t="inlineStr"/>
      <c r="I24" s="27" t="inlineStr"/>
      <c r="J24" s="27" t="inlineStr"/>
    </row>
    <row r="25" ht="61.5" customHeight="1">
      <c r="A25" s="27" t="inlineStr">
        <is>
          <t>Checkout</t>
        </is>
      </c>
      <c r="B25" s="27" t="inlineStr">
        <is>
          <t>TC-CHK-002 - Validare checkout: First Name lipsa</t>
        </is>
      </c>
      <c r="C25" s="27" t="inlineStr">
        <is>
          <t>High</t>
        </is>
      </c>
      <c r="D25" s="27" t="inlineStr">
        <is>
          <t>No</t>
        </is>
      </c>
      <c r="E25" s="27" t="inlineStr">
        <is>
          <t>1. Autentifica-te in aplicatie.
2. Adauga un produs in cos si intra in Checkout.
3. Lasa campul First Name gol.
4. Completeaza Last Name si Zip/Postal Code.
5. Apasa Continue.</t>
        </is>
      </c>
      <c r="F25" s="27" t="inlineStr">
        <is>
          <t>First Name: (gol); Last Name: Popescu; Zip: 123456</t>
        </is>
      </c>
      <c r="G25" s="27" t="inlineStr">
        <is>
          <t>Se afiseaza mesaj de eroare: „Error: First Name is required”.</t>
        </is>
      </c>
      <c r="H25" s="27" t="inlineStr"/>
      <c r="I25" s="27" t="inlineStr"/>
      <c r="J25" s="27" t="inlineStr"/>
    </row>
    <row r="26" ht="63" customHeight="1">
      <c r="A26" s="27" t="inlineStr">
        <is>
          <t>Checkout</t>
        </is>
      </c>
      <c r="B26" s="27" t="inlineStr">
        <is>
          <t>TC-CHK-003 - Validare checkout: Last Name lipsa</t>
        </is>
      </c>
      <c r="C26" s="27" t="inlineStr">
        <is>
          <t>High</t>
        </is>
      </c>
      <c r="D26" s="27" t="inlineStr">
        <is>
          <t>No</t>
        </is>
      </c>
      <c r="E26" s="27" t="inlineStr">
        <is>
          <t>1. Autentifica-te in aplicatie.
2. Adauga un produs in cos si intra in Checkout.
3. Completeaza First Name.
4. Lasa campul Last Name gol.
5. Completeaza Zip/Postal Code.
6. Apasa Continue.</t>
        </is>
      </c>
      <c r="F26" s="27" t="inlineStr">
        <is>
          <t>First Name: Ion; Last Name: (gol); Zip: 123456</t>
        </is>
      </c>
      <c r="G26" s="27" t="inlineStr">
        <is>
          <t>Se afiseaza mesaj de eroare relevant pentru Last Name lipsa (ex.: „Error: Last Name is required”).</t>
        </is>
      </c>
      <c r="H26" s="27" t="inlineStr"/>
      <c r="I26" s="27" t="inlineStr"/>
      <c r="J26" s="27" t="inlineStr"/>
    </row>
    <row r="27" ht="72" customHeight="1">
      <c r="A27" s="27" t="inlineStr">
        <is>
          <t>Checkout</t>
        </is>
      </c>
      <c r="B27" s="27" t="inlineStr">
        <is>
          <t>TC-CHK-004 - Validare checkout: Zip/Postal Code lipsa</t>
        </is>
      </c>
      <c r="C27" s="27" t="inlineStr">
        <is>
          <t>High</t>
        </is>
      </c>
      <c r="D27" s="27" t="inlineStr">
        <is>
          <t>No</t>
        </is>
      </c>
      <c r="E27" s="27" t="inlineStr">
        <is>
          <t>1. Autentifica-te in aplicatie.
2. Adauga un produs in cos si intra in Checkout.
3. Completeaza First Name si Last Name.
4. Lasa campul Zip/Postal Code gol.
5. Apasa Continue.</t>
        </is>
      </c>
      <c r="F27" s="27" t="inlineStr">
        <is>
          <t>First Name: Ion; Last Name: Popescu; Zip: (gol)</t>
        </is>
      </c>
      <c r="G27" s="27" t="inlineStr">
        <is>
          <t>Se afiseaza mesaj de eroare relevant pentru Zip/Postal Code lipsa (ex.: „Error: Postal Code is required”).</t>
        </is>
      </c>
      <c r="H27" s="27" t="inlineStr"/>
      <c r="I27" s="27" t="inlineStr"/>
      <c r="J27" s="27" t="inlineStr"/>
    </row>
    <row r="28" ht="61.5" customHeight="1">
      <c r="A28" s="27" t="inlineStr">
        <is>
          <t>Checkout</t>
        </is>
      </c>
      <c r="B28" s="27" t="inlineStr">
        <is>
          <t>TC-CHK-005 - Validare checkout: toate campurile goale</t>
        </is>
      </c>
      <c r="C28" s="27" t="inlineStr">
        <is>
          <t>High</t>
        </is>
      </c>
      <c r="D28" s="27" t="inlineStr">
        <is>
          <t>No</t>
        </is>
      </c>
      <c r="E28" s="27" t="inlineStr">
        <is>
          <t>1. Autentifica-te in aplicatie.
2. Adauga un produs in cos si intra in Checkout.
3. Lasa toate campurile goale.
4. Apasa Continue.</t>
        </is>
      </c>
      <c r="F28" s="27" t="inlineStr">
        <is>
          <t>First Name: (gol); Last Name: (gol); Zip: (gol)</t>
        </is>
      </c>
      <c r="G28" s="27" t="inlineStr">
        <is>
          <t>Se afiseaza mesajul de eroare: „Error: First Name is required”.</t>
        </is>
      </c>
      <c r="H28" s="27" t="inlineStr"/>
      <c r="I28" s="27" t="inlineStr"/>
      <c r="J28" s="27" t="inlineStr"/>
    </row>
    <row r="29" ht="65.25" customHeight="1">
      <c r="A29" s="27" t="inlineStr">
        <is>
          <t>Checkout</t>
        </is>
      </c>
      <c r="B29" s="27" t="inlineStr">
        <is>
          <t>TC-CHK-006 - Plasare comanda: mesaj de confirmare afisat</t>
        </is>
      </c>
      <c r="C29" s="27" t="inlineStr">
        <is>
          <t>High</t>
        </is>
      </c>
      <c r="D29" s="27" t="inlineStr">
        <is>
          <t>No</t>
        </is>
      </c>
      <c r="E29" s="27" t="inlineStr">
        <is>
          <t>1. Autentifica-te in aplicatie.
2. Adauga un produs in cos si parcurge checkout cu date valide.
3. Apasa Finish/Place order pentru finalizare.</t>
        </is>
      </c>
      <c r="F29" s="27" t="inlineStr">
        <is>
          <t>Date livrare valide</t>
        </is>
      </c>
      <c r="G29" s="27" t="inlineStr">
        <is>
          <t>Comanda este plasata cu succes si se afiseaza mesaj de confirmare (ex.: „Thank you for your order!”).</t>
        </is>
      </c>
      <c r="H29" s="27" t="inlineStr"/>
      <c r="I29" s="27" t="inlineStr"/>
      <c r="J29" s="27" t="inlineStr"/>
    </row>
    <row r="30" ht="57.75" customHeight="1">
      <c r="A30" s="27" t="inlineStr">
        <is>
          <t>Checkout</t>
        </is>
      </c>
      <c r="B30" s="27" t="inlineStr">
        <is>
          <t>TC-CHK-007 - Dupa plasare comanda utilizatorul este pe pagina de finalizare</t>
        </is>
      </c>
      <c r="C30" s="27" t="inlineStr">
        <is>
          <t>Medium</t>
        </is>
      </c>
      <c r="D30" s="27" t="inlineStr">
        <is>
          <t>No</t>
        </is>
      </c>
      <c r="E30" s="27" t="inlineStr">
        <is>
          <t>1. Finalizeaza o comanda cu date valide.
2. Verifica pagina afisata dupa confirmare.</t>
        </is>
      </c>
      <c r="F30" s="27" t="inlineStr">
        <is>
          <t>Date livrare valide</t>
        </is>
      </c>
      <c r="G30" s="27" t="inlineStr">
        <is>
          <t>Utilizatorul vede pagina de finalizare/confirmare dupa plasarea comenzii, fara erori.</t>
        </is>
      </c>
      <c r="H30" s="27" t="inlineStr"/>
      <c r="I30" s="27" t="inlineStr"/>
      <c r="J30" s="27" t="inlineStr"/>
    </row>
    <row r="31" ht="73.5" customHeight="1">
      <c r="A31" s="27" t="inlineStr">
        <is>
          <t>Checkout</t>
        </is>
      </c>
      <c r="B31" s="27" t="inlineStr">
        <is>
          <t>TC-CHK-008 - Rezumat comanda: produsele selectate sunt afisate corect</t>
        </is>
      </c>
      <c r="C31" s="27" t="inlineStr">
        <is>
          <t>Medium</t>
        </is>
      </c>
      <c r="D31" s="27" t="inlineStr">
        <is>
          <t>No</t>
        </is>
      </c>
      <c r="E31" s="27" t="inlineStr">
        <is>
          <t>1. Autentifica-te in aplicatie.
2. Adauga 2 produse diferite in cos.
3. Parcurge checkout cu date valide pana la pasul de overview/rezumat.
4. Verifica produsele si preturile afisate.</t>
        </is>
      </c>
      <c r="F31" s="27" t="inlineStr">
        <is>
          <t>2 produse diferite; date livrare valide</t>
        </is>
      </c>
      <c r="G31" s="27" t="inlineStr">
        <is>
          <t>Rezumatul comenzii afiseaza corect produsele selectate si preturile aferente, fara elemente lipsa.</t>
        </is>
      </c>
      <c r="H31" s="27" t="inlineStr"/>
      <c r="I31" s="27" t="inlineStr"/>
      <c r="J31" s="27" t="inlineStr"/>
    </row>
    <row r="32" ht="15.75" customHeight="1">
      <c r="A32" s="27" t="inlineStr">
        <is>
          <t>Non-functional</t>
        </is>
      </c>
      <c r="B32" s="27" t="inlineStr">
        <is>
          <t>TC-NF-001 - Performanta: incarcarea paginilor principale sub 2 secunde</t>
        </is>
      </c>
      <c r="C32" s="27" t="inlineStr">
        <is>
          <t>High</t>
        </is>
      </c>
      <c r="D32" s="27" t="inlineStr">
        <is>
          <t>No</t>
        </is>
      </c>
      <c r="E32" s="27" t="inlineStr">
        <is>
          <t>1. Deschide aplicatia in Chrome.
2. Masoara timpul de incarcare pentru: Login, Produse, Cos.
3. Repeta de 3 ori si noteaza valorile.</t>
        </is>
      </c>
      <c r="F32" s="27" t="inlineStr">
        <is>
          <t>Browser: Chrome; masurare cu DevTools/Network</t>
        </is>
      </c>
      <c r="G32" s="27" t="inlineStr">
        <is>
          <t>Timpul de incarcare pentru paginile principale este sub 2 secunde.</t>
        </is>
      </c>
      <c r="H32" s="27" t="inlineStr"/>
      <c r="I32" s="27" t="inlineStr"/>
      <c r="J32" s="27" t="inlineStr"/>
    </row>
    <row r="33" ht="15.75" customHeight="1">
      <c r="A33" s="27" t="inlineStr">
        <is>
          <t>Securitate</t>
        </is>
      </c>
      <c r="B33" s="27" t="inlineStr">
        <is>
          <t>TC-SEC-001 - Dupa logout nu se pot accesa paginile protejate fara reautentificare</t>
        </is>
      </c>
      <c r="C33" s="27" t="inlineStr">
        <is>
          <t>High</t>
        </is>
      </c>
      <c r="D33" s="27" t="inlineStr">
        <is>
          <t>No</t>
        </is>
      </c>
      <c r="E33" s="27" t="inlineStr">
        <is>
          <t>1. Autentifica-te in aplicatie.
2. Efectueaza Logout.
3. Incearca sa accesezi direct pagina Produse (prin Back sau URL).
4. Incearca sa accesezi pagina Cos.</t>
        </is>
      </c>
      <c r="F33" s="27" t="inlineStr">
        <is>
          <t>username: standard_user; parola: secret_sauce</t>
        </is>
      </c>
      <c r="G33" s="27" t="inlineStr">
        <is>
          <t>Accesul la paginile protejate este blocat; utilizatorul este redirectionat la Login sau i se cere reautentificare.</t>
        </is>
      </c>
      <c r="H33" s="27" t="inlineStr"/>
      <c r="I33" s="27" t="inlineStr"/>
      <c r="J33" s="27" t="inlineStr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31">
    <cfRule type="cellIs" priority="1" operator="equal" dxfId="0">
      <formula>"Pass"</formula>
    </cfRule>
    <cfRule type="cellIs" priority="2" operator="equal" dxfId="3">
      <formula>"Fail"</formula>
    </cfRule>
    <cfRule type="containsText" priority="3" operator="containsText" dxfId="2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B15" sqref="B15"/>
    </sheetView>
  </sheetViews>
  <sheetFormatPr baseColWidth="8" defaultColWidth="12.6640625" defaultRowHeight="15" customHeight="1"/>
  <cols>
    <col width="20.44140625" customWidth="1" min="1" max="1"/>
    <col width="20.88671875" customWidth="1" min="2" max="2"/>
    <col width="19.6640625" customWidth="1" min="3" max="3"/>
    <col width="22.77734375" customWidth="1" min="4" max="4"/>
    <col width="23.88671875" customWidth="1" min="5" max="5"/>
    <col width="20.33203125" customWidth="1" min="6" max="6"/>
    <col width="23.77734375" customWidth="1" min="7" max="7"/>
    <col width="20.33203125" customWidth="1" min="8" max="8"/>
    <col width="22.109375" customWidth="1" min="9" max="9"/>
  </cols>
  <sheetData>
    <row r="1" ht="67.5" customHeight="1">
      <c r="A1" s="17" t="inlineStr">
        <is>
          <t>Total tests</t>
        </is>
      </c>
      <c r="B1" s="17" t="inlineStr">
        <is>
          <t>Nb of Pass test</t>
        </is>
      </c>
      <c r="C1" s="17" t="inlineStr">
        <is>
          <t>Nb of Failed test</t>
        </is>
      </c>
      <c r="D1" s="17" t="inlineStr">
        <is>
          <t>Nb. Of Blocked tests</t>
        </is>
      </c>
      <c r="E1" s="17" t="inlineStr">
        <is>
          <t>Total test covered</t>
        </is>
      </c>
      <c r="F1" s="17" t="inlineStr">
        <is>
          <t>Blocked Tests%</t>
        </is>
      </c>
      <c r="G1" s="17" t="inlineStr">
        <is>
          <t>Failed test%</t>
        </is>
      </c>
      <c r="H1" s="17" t="inlineStr">
        <is>
          <t>Pass test %</t>
        </is>
      </c>
      <c r="I1" s="17" t="inlineStr">
        <is>
          <t>Total test covered</t>
        </is>
      </c>
    </row>
    <row r="2" ht="75.75" customHeight="1">
      <c r="A2" s="18">
        <f>COUNTIF(TestCases!B2:B60,"*")</f>
        <v/>
      </c>
      <c r="B2" s="18">
        <f>COUNTIF(TestCases!I2:O60,"Pass")</f>
        <v/>
      </c>
      <c r="C2" s="18">
        <f>COUNTIF(TestCases!I2:I60,"Fail")</f>
        <v/>
      </c>
      <c r="D2" s="18">
        <f>COUNTIF(TestCases!I2:I60,"Blocked")</f>
        <v/>
      </c>
      <c r="E2" s="18">
        <f>B2+C2</f>
        <v/>
      </c>
      <c r="F2" s="19">
        <f>(D2/A2)*100</f>
        <v/>
      </c>
      <c r="G2" s="20">
        <f>(C2/A2)*100</f>
        <v/>
      </c>
      <c r="H2" s="19">
        <f>(B2/A2)*100</f>
        <v/>
      </c>
      <c r="I2" s="20">
        <f>((B2+C2)/A2)*100</f>
        <v/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priority="1" operator="between" dxfId="3">
      <formula>0</formula>
      <formula>25</formula>
    </cfRule>
    <cfRule type="cellIs" priority="2" operator="between" dxfId="2">
      <formula>26</formula>
      <formula>50</formula>
    </cfRule>
    <cfRule type="cellIs" priority="3" operator="between" dxfId="1">
      <formula>51</formula>
      <formula>75</formula>
    </cfRule>
    <cfRule type="cellIs" priority="4" operator="between" dxfId="0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2026-01-29T21:46:52Z</dcterms:created>
  <dcterms:modified xmlns:dcterms="http://purl.org/dc/terms/" xmlns:xsi="http://www.w3.org/2001/XMLSchema-instance" xsi:type="dcterms:W3CDTF">2026-02-01T16:03:28Z</dcterms:modified>
  <cp:lastModifiedBy>Bogdan Barbusiu</cp:lastModifiedBy>
</cp:coreProperties>
</file>