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Tl5v+vGpW+V+4NfhkDdBa2Mn1xp0dFR15YhtpwdxEnc="/>
    </ext>
  </extLst>
</workbook>
</file>

<file path=xl/sharedStrings.xml><?xml version="1.0" encoding="utf-8"?>
<sst xmlns="http://schemas.openxmlformats.org/spreadsheetml/2006/main" count="275" uniqueCount="141">
  <si>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</si>
  <si>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</si>
  <si>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</si>
  <si>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</si>
  <si>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</si>
  <si>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</si>
  <si>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</si>
  <si>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</si>
  <si>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</si>
  <si>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</si>
  <si>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Autentificare</t>
  </si>
  <si>
    <t>TC-LOGIN-001 - Autentificare reusita cu credentiale valide</t>
  </si>
  <si>
    <t>High</t>
  </si>
  <si>
    <t>No</t>
  </si>
  <si>
    <t>1. Acceseaza pagina de autentificare.
2. Introdu username valid.
3. Introdu parola valida.
4. Apasa butonul Login.</t>
  </si>
  <si>
    <t>username: standard_user; parola: secret_sauce</t>
  </si>
  <si>
    <t>Utilizatorul se autentifica cu succes si este redirectionat catre pagina principala a produselor.</t>
  </si>
  <si>
    <t>PASS</t>
  </si>
  <si>
    <t>TC-LOGIN-002 - Autentificare esuata cu username invalid</t>
  </si>
  <si>
    <t>1. Acceseaza pagina de autentificare.
2. Introdu un username invalid.
3. Introdu o parola valida.
4. Apasa Login.</t>
  </si>
  <si>
    <t>username: invalid_user; parola: secret_sauce</t>
  </si>
  <si>
    <t>Autentificarea esueaza si se afiseaza un mesaj de eroare relevant (ex.: „Epic sadface: Username and password do not match any user in this service”).</t>
  </si>
  <si>
    <t>TC-LOGIN-003 - Autentificare esuata cu parola invalida</t>
  </si>
  <si>
    <t>1. Acceseaza pagina de autentificare.
2. Introdu un username valid.
3. Introdu o parola invalida.
4. Apasa Login.</t>
  </si>
  <si>
    <t>username: standard_user; parola: gresita123</t>
  </si>
  <si>
    <t>Autentificarea esueaza si se afiseaza un mesaj de eroare relevant.</t>
  </si>
  <si>
    <t>TC-LOGIN-004 - Autentificare esuata cu username si parola invalide</t>
  </si>
  <si>
    <t>1. Acceseaza pagina de autentificare.
2. Introdu un username invalid.
3. Introdu o parola invalida.
4. Apasa Login.</t>
  </si>
  <si>
    <t>username: invalid_user; parola: invalid_pass</t>
  </si>
  <si>
    <t>TC-LOGIN-005 - Validare: camp Username gol</t>
  </si>
  <si>
    <t>1. Acceseaza pagina de autentificare.
2. Lasa campul Username gol.
3. Introdu o parola valida.
4. Apasa Login.</t>
  </si>
  <si>
    <t>username: (gol); parola: secret_sauce</t>
  </si>
  <si>
    <t>Autentificarea esueaza si se afiseaza un mesaj de eroare clar pentru date incomplete/incorecte.</t>
  </si>
  <si>
    <t>TC-LOGIN-006 - Validare: camp Password gol</t>
  </si>
  <si>
    <t>1. Acceseaza pagina de autentificare.
2. Introdu un username valid.
3. Lasa campul Password gol.
4. Apasa Login.</t>
  </si>
  <si>
    <t>username: standard_user; parola: (gol)</t>
  </si>
  <si>
    <t>TC-LOGIN-007 - Parola este mascata la tastare</t>
  </si>
  <si>
    <t>Medium</t>
  </si>
  <si>
    <t>1. Acceseaza pagina de autentificare.
2. Introdu orice parola in campul Password.
3. Observa afisarea caracterelor in camp.</t>
  </si>
  <si>
    <t>parola: secret_sauce</t>
  </si>
  <si>
    <t>Caracterele parolei nu sunt afisate in clar (sunt mascate cu punct/stea).</t>
  </si>
  <si>
    <t>TC-LOGIN-008 - Logout reusit si redirect la autentificare</t>
  </si>
  <si>
    <t>1. Autentifica-te cu un utilizator valid.
2. Acceseaza meniul aplicatiei.
3. Apasa Logout.</t>
  </si>
  <si>
    <t>Utilizatorul este delogat cu succes si este redirectionat catre pagina de autentificare.</t>
  </si>
  <si>
    <t>Lista produse</t>
  </si>
  <si>
    <t>TC-PROD-001 - Afisare lista produse: imagine, nume, pret, buton Add to cart</t>
  </si>
  <si>
    <t>1. Autentifica-te in aplicatie.
2. Acceseaza pagina principala a produselor.
3. Verifica pentru fiecare produs existenta: imagine, nume, pret, buton Add to cart.</t>
  </si>
  <si>
    <t>Lista de produse este afisata complet. Fiecare produs are imagine, nume, pret si buton de adaugare in cos.</t>
  </si>
  <si>
    <t>TC-PROD-002 - UI: produsele sunt afisate corect fara suprapuneri/elemente lipsa</t>
  </si>
  <si>
    <t>1. Autentifica-te in aplicatie.
2. Acceseaza pagina produselor.
3. Deruleaza pagina (scroll) pana la final.
4. Verifica vizual ca nu exista elemente suprapuse si nu lipsesc componente.</t>
  </si>
  <si>
    <t>Produsele sunt afisate corect, fara suprapuneri sau elemente lipsa.</t>
  </si>
  <si>
    <t>TC-PROD-003 - Sortare dupa pret: ascendent</t>
  </si>
  <si>
    <t>1. Autentifica-te in aplicatie.
2. Acceseaza pagina produselor.
3. Selecteaza sortarea dupa pret ascendent.
4. Verifica ordinea produselor dupa pret (crescator).</t>
  </si>
  <si>
    <t>Produsele sunt sortate corect dupa pret in ordine crescatoare.</t>
  </si>
  <si>
    <t>TC-PROD-004 - Sortare dupa pret: descendent</t>
  </si>
  <si>
    <t>1. Autentifica-te in aplicatie.
2. Acceseaza pagina produselor.
3. Selecteaza sortarea dupa pret descendent.
4. Verifica ordinea produselor dupa pret (descrescator).</t>
  </si>
  <si>
    <t>Produsele sunt sortate corect dupa pret in ordine descrescatoare.</t>
  </si>
  <si>
    <t>TC-PROD-005 - Sortare dupa nume: ascendent (A-Z)</t>
  </si>
  <si>
    <t>1. Autentifica-te in aplicatie.
2. Acceseaza pagina produselor.
3. Selecteaza sortarea dupa nume ascendent.
4. Verifica ordinea produselor dupa nume (A-Z).</t>
  </si>
  <si>
    <t>Produsele sunt sortate corect dupa nume in ordine A-Z.</t>
  </si>
  <si>
    <t>TC-PROD-006 - Sortare dupa nume: descendent (Z-A)</t>
  </si>
  <si>
    <t>1. Autentifica-te in aplicatie.
2. Acceseaza pagina produselor.
3. Selecteaza sortarea dupa nume descendent.
4. Verifica ordinea produselor dupa nume (Z-A).</t>
  </si>
  <si>
    <t>Produsele sunt sortate corect dupa nume in ordine Z-A.</t>
  </si>
  <si>
    <t>TC-PROD-007 - Persistenta sortarii la refresh (comportament consecvent)</t>
  </si>
  <si>
    <t>1. Autentifica-te in aplicatie.
2. Acceseaza pagina produselor.
3. Aplica o sortare (ex.: pret descendent).
4. Da refresh la pagina.
5. Verifica daca afisarea ramane consecventa (fara erori/afisare incorecta).</t>
  </si>
  <si>
    <t>Comportamentul la refresh este consecvent (nu apar erori; lista ramane coerenta si utilizabila).</t>
  </si>
  <si>
    <t>TC-PROD-008 - Buton Add to cart este actionabil pentru produse multiple</t>
  </si>
  <si>
    <t>1. Autentifica-te in aplicatie.
2. Acceseaza pagina produselor.
3. Apasa Add to cart pentru 3 produse diferite.</t>
  </si>
  <si>
    <t>Toate cele 3 produse pot fi adaugate in cos fara erori.</t>
  </si>
  <si>
    <t>Cos de cumparaturi</t>
  </si>
  <si>
    <t>TC-CART-001 - Adaugare produs in cos din lista produse</t>
  </si>
  <si>
    <t>1. Autentifica-te in aplicatie.
2. Acceseaza pagina produselor.
3. Apasa Add to cart pentru un produs.
4. Acceseaza cosul de cumparaturi.</t>
  </si>
  <si>
    <t>Produs: orice produs disponibil</t>
  </si>
  <si>
    <t>Produsul selectat apare in cos.</t>
  </si>
  <si>
    <t>TC-CART-002 - Badge cos: numarul de articole se actualizeaza la adaugare</t>
  </si>
  <si>
    <t>1. Autentifica-te in aplicatie.
2. Verifica badge-ul cosului initial.
3. Adauga 1 produs in cos.
4. Verifica badge-ul cosului dupa adaugare.</t>
  </si>
  <si>
    <t>Adauga 1 produs</t>
  </si>
  <si>
    <t>Badge-ul cosului se actualizeaza corespunzator (+1).</t>
  </si>
  <si>
    <t>TC-CART-003 - Badge cos: numarul de articole se actualizeaza la eliminare</t>
  </si>
  <si>
    <t>1. Autentifica-te in aplicatie.
2. Adauga 2 produse in cos.
3. Acceseaza cosul.
4. Elimina 1 produs.
5. Verifica badge-ul cosului.</t>
  </si>
  <si>
    <t>Adauga 2 produse, elimina 1</t>
  </si>
  <si>
    <t>Badge-ul cosului reflecta corect numarul curent de articole dupa eliminare.</t>
  </si>
  <si>
    <t>TC-CART-004 - Eliminare produs individual din cos</t>
  </si>
  <si>
    <t>1. Autentifica-te in aplicatie.
2. Adauga un produs in cos.
3. Acceseaza cosul.
4. Apasa Remove pentru produs.</t>
  </si>
  <si>
    <t>Produsul este eliminat din cos, fara erori.</t>
  </si>
  <si>
    <t>TC-CART-005 - Continue Shopping revine la pagina produse</t>
  </si>
  <si>
    <t>1. Autentifica-te in aplicatie.
2. Adauga cel putin un produs in cos.
3. Acceseaza cosul.
4. Apasa Continue Shopping.</t>
  </si>
  <si>
    <t>Cel putin 1 produs in cos</t>
  </si>
  <si>
    <t>Utilizatorul este redirectionat inapoi la pagina produselor.</t>
  </si>
  <si>
    <t>TC-CART-006 - Checkout din cos duce la pagina de checkout</t>
  </si>
  <si>
    <t>1. Autentifica-te in aplicatie.
2. Adauga cel putin un produs in cos.
3. Acceseaza cosul.
4. Apasa Checkout.</t>
  </si>
  <si>
    <t>Utilizatorul este redirectionat catre pagina de checkout (formular livrare).</t>
  </si>
  <si>
    <t>Checkout</t>
  </si>
  <si>
    <t>TC-CHK-001 - Formular checkout accepta date valide</t>
  </si>
  <si>
    <t>1. Autentifica-te in aplicatie.
2. Adauga un produs in cos si intra in Checkout.
3. Completeaza First Name, Last Name, Zip/Postal Code cu valori valide.
4. Apasa Continue.</t>
  </si>
  <si>
    <t>First Name: Ion; Last Name: Popescu; Zip: 123456</t>
  </si>
  <si>
    <t>Formularul este acceptat si utilizatorul avanseaza la pasul urmator din checkout, fara erori.</t>
  </si>
  <si>
    <t>TC-CHK-002 - Validare checkout: First Name lipsa</t>
  </si>
  <si>
    <t>1. Autentifica-te in aplicatie.
2. Adauga un produs in cos si intra in Checkout.
3. Lasa campul First Name gol.
4. Completeaza Last Name si Zip/Postal Code.
5. Apasa Continue.</t>
  </si>
  <si>
    <t>First Name: (gol); Last Name: Popescu; Zip: 123456</t>
  </si>
  <si>
    <t>Se afiseaza mesaj de eroare: „Error: First Name is required”.</t>
  </si>
  <si>
    <t>TC-CHK-003 - Validare checkout: Last Name lipsa</t>
  </si>
  <si>
    <t>1. Autentifica-te in aplicatie.
2. Adauga un produs in cos si intra in Checkout.
3. Completeaza First Name.
4. Lasa campul Last Name gol.
5. Completeaza Zip/Postal Code.
6. Apasa Continue.</t>
  </si>
  <si>
    <t>First Name: Ion; Last Name: (gol); Zip: 123456</t>
  </si>
  <si>
    <t>Se afiseaza mesaj de eroare relevant pentru Last Name lipsa (ex.: „Error: Last Name is required”).</t>
  </si>
  <si>
    <t>TC-CHK-004 - Validare checkout: Zip/Postal Code lipsa</t>
  </si>
  <si>
    <t>1. Autentifica-te in aplicatie.
2. Adauga un produs in cos si intra in Checkout.
3. Completeaza First Name si Last Name.
4. Lasa campul Zip/Postal Code gol.
5. Apasa Continue.</t>
  </si>
  <si>
    <t>First Name: Ion; Last Name: Popescu; Zip: (gol)</t>
  </si>
  <si>
    <t>Se afiseaza mesaj de eroare relevant pentru Zip/Postal Code lipsa (ex.: „Error: Postal Code is required”).</t>
  </si>
  <si>
    <t>TC-CHK-005 - Validare checkout: toate campurile goale</t>
  </si>
  <si>
    <t>1. Autentifica-te in aplicatie.
2. Adauga un produs in cos si intra in Checkout.
3. Lasa toate campurile goale.
4. Apasa Continue.</t>
  </si>
  <si>
    <t>First Name: (gol); Last Name: (gol); Zip: (gol)</t>
  </si>
  <si>
    <t>Se afiseaza mesajul de eroare: „Error: First Name is required”.</t>
  </si>
  <si>
    <t>TC-CHK-006 - Plasare comanda: mesaj de confirmare afisat</t>
  </si>
  <si>
    <t>1. Autentifica-te in aplicatie.
2. Adauga un produs in cos si parcurge checkout cu date valide.
3. Apasa Finish/Place order pentru finalizare.</t>
  </si>
  <si>
    <t>Date livrare valide</t>
  </si>
  <si>
    <t>Comanda este plasata cu succes si se afiseaza mesaj de confirmare (ex.: „Thank you for your order!”).</t>
  </si>
  <si>
    <t>TC-CHK-007 - Dupa plasare comanda utilizatorul este pe pagina de finalizare</t>
  </si>
  <si>
    <t>1. Finalizeaza o comanda cu date valide.
2. Verifica pagina afisata dupa confirmare.</t>
  </si>
  <si>
    <t>Utilizatorul vede pagina de finalizare/confirmare dupa plasarea comenzii, fara erori.</t>
  </si>
  <si>
    <t>TC-CHK-008 - Rezumat comanda: produsele selectate sunt afisate corect</t>
  </si>
  <si>
    <t>1. Autentifica-te in aplicatie.
2. Adauga 2 produse diferite in cos.
3. Parcurge checkout cu date valide pana la pasul de overview/rezumat.
4. Verifica produsele si preturile afisate.</t>
  </si>
  <si>
    <t>2 produse diferite; date livrare valide</t>
  </si>
  <si>
    <t>Rezumatul comenzii afiseaza corect produsele selectate si preturile aferente, fara elemente lipsa.</t>
  </si>
  <si>
    <t>Non-functional</t>
  </si>
  <si>
    <t>TC-NF-001 - Performanta: incarcarea paginilor principale sub 2 secunde</t>
  </si>
  <si>
    <t>1. Deschide aplicatia in Chrome.
2. Masoara timpul de incarcare pentru: Login, Produse, Cos.
3. Repeta de 3 ori si noteaza valorile.</t>
  </si>
  <si>
    <t>Browser: Chrome; masurare cu DevTools/Network</t>
  </si>
  <si>
    <t>Timpul de incarcare pentru paginile principale este sub 2 secunde.</t>
  </si>
  <si>
    <t>Securitate</t>
  </si>
  <si>
    <t>TC-SEC-001 - Dupa logout nu se pot accesa paginile protejate fara reautentificare</t>
  </si>
  <si>
    <t>1. Autentifica-te in aplicatie.
2. Efectueaza Logout.
3. Incearca sa accesezi direct pagina Produse (prin Back sau URL).
4. Incearca sa accesezi pagina Cos.</t>
  </si>
  <si>
    <t>Accesul la paginile protejate este blocat; utilizatorul este redirectionat la Login sau i se cere reautentificare.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</si>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</sst>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3" fontId="2" numFmtId="0" xfId="0" applyAlignment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5" fontId="6" numFmtId="2" xfId="0" applyAlignment="1" applyBorder="1" applyFill="1" applyFont="1" applyNumberFormat="1">
      <alignment horizontal="center"/>
    </xf>
    <xf borderId="1" fillId="0" fontId="5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6.0"/>
    <col customWidth="1" min="3" max="4" width="10.0"/>
    <col customWidth="1" min="5" max="5" width="55.0"/>
    <col customWidth="1" min="6" max="6" width="28.0"/>
    <col customWidth="1" min="7" max="7" width="48.0"/>
    <col customWidth="1" min="8" max="8" width="22.0"/>
    <col customWidth="1" min="9" max="9" width="18.0"/>
    <col customWidth="1" min="10" max="10" width="12.0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5.0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/>
      <c r="I2" s="5" t="s">
        <v>17</v>
      </c>
      <c r="J2" s="3"/>
    </row>
    <row r="3" ht="81.0" customHeight="1">
      <c r="A3" s="6" t="s">
        <v>10</v>
      </c>
      <c r="B3" s="3" t="s">
        <v>18</v>
      </c>
      <c r="C3" s="3" t="s">
        <v>12</v>
      </c>
      <c r="D3" s="3" t="s">
        <v>13</v>
      </c>
      <c r="E3" s="3" t="s">
        <v>19</v>
      </c>
      <c r="F3" s="3" t="s">
        <v>20</v>
      </c>
      <c r="G3" s="3" t="s">
        <v>21</v>
      </c>
      <c r="H3" s="3"/>
      <c r="I3" s="5" t="s">
        <v>17</v>
      </c>
      <c r="J3" s="3"/>
    </row>
    <row r="4" ht="96.75" customHeight="1">
      <c r="A4" s="6" t="s">
        <v>10</v>
      </c>
      <c r="B4" s="3" t="s">
        <v>22</v>
      </c>
      <c r="C4" s="3" t="s">
        <v>12</v>
      </c>
      <c r="D4" s="3" t="s">
        <v>13</v>
      </c>
      <c r="E4" s="3" t="s">
        <v>23</v>
      </c>
      <c r="F4" s="3" t="s">
        <v>24</v>
      </c>
      <c r="G4" s="3" t="s">
        <v>25</v>
      </c>
      <c r="H4" s="3"/>
      <c r="I4" s="5" t="s">
        <v>17</v>
      </c>
      <c r="J4" s="3"/>
    </row>
    <row r="5" ht="81.0" customHeight="1">
      <c r="A5" s="3" t="s">
        <v>10</v>
      </c>
      <c r="B5" s="3" t="s">
        <v>26</v>
      </c>
      <c r="C5" s="3" t="s">
        <v>12</v>
      </c>
      <c r="D5" s="3" t="s">
        <v>13</v>
      </c>
      <c r="E5" s="3" t="s">
        <v>27</v>
      </c>
      <c r="F5" s="3" t="s">
        <v>28</v>
      </c>
      <c r="G5" s="3" t="s">
        <v>25</v>
      </c>
      <c r="H5" s="3"/>
      <c r="I5" s="5" t="s">
        <v>17</v>
      </c>
      <c r="J5" s="3"/>
    </row>
    <row r="6" ht="83.25" customHeight="1">
      <c r="A6" s="3" t="s">
        <v>10</v>
      </c>
      <c r="B6" s="3" t="s">
        <v>29</v>
      </c>
      <c r="C6" s="3" t="s">
        <v>12</v>
      </c>
      <c r="D6" s="3" t="s">
        <v>13</v>
      </c>
      <c r="E6" s="3" t="s">
        <v>30</v>
      </c>
      <c r="F6" s="3" t="s">
        <v>31</v>
      </c>
      <c r="G6" s="3" t="s">
        <v>32</v>
      </c>
      <c r="H6" s="3"/>
      <c r="I6" s="5" t="s">
        <v>17</v>
      </c>
      <c r="J6" s="3"/>
    </row>
    <row r="7" ht="83.25" customHeight="1">
      <c r="A7" s="3" t="s">
        <v>10</v>
      </c>
      <c r="B7" s="3" t="s">
        <v>33</v>
      </c>
      <c r="C7" s="3" t="s">
        <v>12</v>
      </c>
      <c r="D7" s="3" t="s">
        <v>13</v>
      </c>
      <c r="E7" s="3" t="s">
        <v>34</v>
      </c>
      <c r="F7" s="3" t="s">
        <v>35</v>
      </c>
      <c r="G7" s="3" t="s">
        <v>32</v>
      </c>
      <c r="H7" s="3"/>
      <c r="I7" s="5" t="s">
        <v>17</v>
      </c>
      <c r="J7" s="3"/>
    </row>
    <row r="8" ht="66.75" customHeight="1">
      <c r="A8" s="3" t="s">
        <v>10</v>
      </c>
      <c r="B8" s="3" t="s">
        <v>36</v>
      </c>
      <c r="C8" s="3" t="s">
        <v>37</v>
      </c>
      <c r="D8" s="3" t="s">
        <v>13</v>
      </c>
      <c r="E8" s="3" t="s">
        <v>38</v>
      </c>
      <c r="F8" s="3" t="s">
        <v>39</v>
      </c>
      <c r="G8" s="3" t="s">
        <v>40</v>
      </c>
      <c r="H8" s="3"/>
      <c r="I8" s="5" t="s">
        <v>17</v>
      </c>
      <c r="J8" s="3"/>
    </row>
    <row r="9" ht="74.25" customHeight="1">
      <c r="A9" s="3" t="s">
        <v>10</v>
      </c>
      <c r="B9" s="3" t="s">
        <v>41</v>
      </c>
      <c r="C9" s="3" t="s">
        <v>12</v>
      </c>
      <c r="D9" s="3" t="s">
        <v>13</v>
      </c>
      <c r="E9" s="3" t="s">
        <v>42</v>
      </c>
      <c r="F9" s="3" t="s">
        <v>15</v>
      </c>
      <c r="G9" s="3" t="s">
        <v>43</v>
      </c>
      <c r="H9" s="3"/>
      <c r="I9" s="5" t="s">
        <v>17</v>
      </c>
      <c r="J9" s="3"/>
    </row>
    <row r="10" ht="69.75" customHeight="1">
      <c r="A10" s="3" t="s">
        <v>44</v>
      </c>
      <c r="B10" s="3" t="s">
        <v>45</v>
      </c>
      <c r="C10" s="3" t="s">
        <v>12</v>
      </c>
      <c r="D10" s="3" t="s">
        <v>13</v>
      </c>
      <c r="E10" s="3" t="s">
        <v>46</v>
      </c>
      <c r="F10" s="3" t="s">
        <v>15</v>
      </c>
      <c r="G10" s="3" t="s">
        <v>47</v>
      </c>
      <c r="H10" s="3"/>
      <c r="I10" s="5" t="s">
        <v>17</v>
      </c>
      <c r="J10" s="3"/>
    </row>
    <row r="11" ht="87.75" customHeight="1">
      <c r="A11" s="3" t="s">
        <v>44</v>
      </c>
      <c r="B11" s="3" t="s">
        <v>48</v>
      </c>
      <c r="C11" s="3" t="s">
        <v>37</v>
      </c>
      <c r="D11" s="3" t="s">
        <v>13</v>
      </c>
      <c r="E11" s="3" t="s">
        <v>49</v>
      </c>
      <c r="F11" s="3" t="s">
        <v>15</v>
      </c>
      <c r="G11" s="3" t="s">
        <v>50</v>
      </c>
      <c r="H11" s="3"/>
      <c r="I11" s="5" t="s">
        <v>17</v>
      </c>
      <c r="J11" s="3"/>
    </row>
    <row r="12" ht="69.0" customHeight="1">
      <c r="A12" s="3" t="s">
        <v>44</v>
      </c>
      <c r="B12" s="3" t="s">
        <v>51</v>
      </c>
      <c r="C12" s="3" t="s">
        <v>12</v>
      </c>
      <c r="D12" s="3" t="s">
        <v>13</v>
      </c>
      <c r="E12" s="3" t="s">
        <v>52</v>
      </c>
      <c r="F12" s="3" t="s">
        <v>15</v>
      </c>
      <c r="G12" s="3" t="s">
        <v>53</v>
      </c>
      <c r="H12" s="3"/>
      <c r="I12" s="5" t="s">
        <v>17</v>
      </c>
      <c r="J12" s="3"/>
    </row>
    <row r="13" ht="69.75" customHeight="1">
      <c r="A13" s="3" t="s">
        <v>44</v>
      </c>
      <c r="B13" s="3" t="s">
        <v>54</v>
      </c>
      <c r="C13" s="3" t="s">
        <v>12</v>
      </c>
      <c r="D13" s="3" t="s">
        <v>13</v>
      </c>
      <c r="E13" s="3" t="s">
        <v>55</v>
      </c>
      <c r="F13" s="3" t="s">
        <v>15</v>
      </c>
      <c r="G13" s="3" t="s">
        <v>56</v>
      </c>
      <c r="H13" s="3"/>
      <c r="I13" s="5" t="s">
        <v>17</v>
      </c>
      <c r="J13" s="3"/>
    </row>
    <row r="14" ht="69.0" customHeight="1">
      <c r="A14" s="3" t="s">
        <v>44</v>
      </c>
      <c r="B14" s="3" t="s">
        <v>57</v>
      </c>
      <c r="C14" s="3" t="s">
        <v>12</v>
      </c>
      <c r="D14" s="3" t="s">
        <v>13</v>
      </c>
      <c r="E14" s="3" t="s">
        <v>58</v>
      </c>
      <c r="F14" s="3" t="s">
        <v>15</v>
      </c>
      <c r="G14" s="3" t="s">
        <v>59</v>
      </c>
      <c r="H14" s="3"/>
      <c r="I14" s="5" t="s">
        <v>17</v>
      </c>
      <c r="J14" s="3"/>
    </row>
    <row r="15" ht="54.0" customHeight="1">
      <c r="A15" s="3" t="s">
        <v>44</v>
      </c>
      <c r="B15" s="3" t="s">
        <v>60</v>
      </c>
      <c r="C15" s="3" t="s">
        <v>12</v>
      </c>
      <c r="D15" s="3" t="s">
        <v>13</v>
      </c>
      <c r="E15" s="3" t="s">
        <v>61</v>
      </c>
      <c r="F15" s="3" t="s">
        <v>15</v>
      </c>
      <c r="G15" s="3" t="s">
        <v>62</v>
      </c>
      <c r="H15" s="3"/>
      <c r="I15" s="5" t="s">
        <v>17</v>
      </c>
      <c r="J15" s="3"/>
    </row>
    <row r="16" ht="58.5" customHeight="1">
      <c r="A16" s="3" t="s">
        <v>44</v>
      </c>
      <c r="B16" s="3" t="s">
        <v>63</v>
      </c>
      <c r="C16" s="3" t="s">
        <v>37</v>
      </c>
      <c r="D16" s="3" t="s">
        <v>13</v>
      </c>
      <c r="E16" s="3" t="s">
        <v>64</v>
      </c>
      <c r="F16" s="3" t="s">
        <v>15</v>
      </c>
      <c r="G16" s="3" t="s">
        <v>65</v>
      </c>
      <c r="H16" s="3"/>
      <c r="I16" s="5" t="s">
        <v>17</v>
      </c>
      <c r="J16" s="3"/>
    </row>
    <row r="17" ht="61.5" customHeight="1">
      <c r="A17" s="3" t="s">
        <v>44</v>
      </c>
      <c r="B17" s="3" t="s">
        <v>66</v>
      </c>
      <c r="C17" s="3" t="s">
        <v>12</v>
      </c>
      <c r="D17" s="3" t="s">
        <v>13</v>
      </c>
      <c r="E17" s="3" t="s">
        <v>67</v>
      </c>
      <c r="F17" s="3" t="s">
        <v>15</v>
      </c>
      <c r="G17" s="3" t="s">
        <v>68</v>
      </c>
      <c r="H17" s="3"/>
      <c r="I17" s="5" t="s">
        <v>17</v>
      </c>
      <c r="J17" s="3"/>
    </row>
    <row r="18" ht="60.75" customHeight="1">
      <c r="A18" s="3" t="s">
        <v>69</v>
      </c>
      <c r="B18" s="3" t="s">
        <v>70</v>
      </c>
      <c r="C18" s="3" t="s">
        <v>12</v>
      </c>
      <c r="D18" s="3" t="s">
        <v>13</v>
      </c>
      <c r="E18" s="3" t="s">
        <v>71</v>
      </c>
      <c r="F18" s="3" t="s">
        <v>72</v>
      </c>
      <c r="G18" s="3" t="s">
        <v>73</v>
      </c>
      <c r="H18" s="3"/>
      <c r="I18" s="5" t="s">
        <v>17</v>
      </c>
      <c r="J18" s="3"/>
    </row>
    <row r="19" ht="65.25" customHeight="1">
      <c r="A19" s="3" t="s">
        <v>69</v>
      </c>
      <c r="B19" s="3" t="s">
        <v>74</v>
      </c>
      <c r="C19" s="3" t="s">
        <v>12</v>
      </c>
      <c r="D19" s="3" t="s">
        <v>13</v>
      </c>
      <c r="E19" s="3" t="s">
        <v>75</v>
      </c>
      <c r="F19" s="3" t="s">
        <v>76</v>
      </c>
      <c r="G19" s="3" t="s">
        <v>77</v>
      </c>
      <c r="H19" s="3"/>
      <c r="I19" s="5" t="s">
        <v>17</v>
      </c>
      <c r="J19" s="3"/>
    </row>
    <row r="20" ht="66.75" customHeight="1">
      <c r="A20" s="3" t="s">
        <v>69</v>
      </c>
      <c r="B20" s="3" t="s">
        <v>78</v>
      </c>
      <c r="C20" s="3" t="s">
        <v>12</v>
      </c>
      <c r="D20" s="3" t="s">
        <v>13</v>
      </c>
      <c r="E20" s="3" t="s">
        <v>79</v>
      </c>
      <c r="F20" s="3" t="s">
        <v>80</v>
      </c>
      <c r="G20" s="3" t="s">
        <v>81</v>
      </c>
      <c r="H20" s="3"/>
      <c r="I20" s="5" t="s">
        <v>17</v>
      </c>
      <c r="J20" s="3"/>
    </row>
    <row r="21" ht="65.25" customHeight="1">
      <c r="A21" s="3" t="s">
        <v>69</v>
      </c>
      <c r="B21" s="3" t="s">
        <v>82</v>
      </c>
      <c r="C21" s="3" t="s">
        <v>12</v>
      </c>
      <c r="D21" s="3" t="s">
        <v>13</v>
      </c>
      <c r="E21" s="3" t="s">
        <v>83</v>
      </c>
      <c r="F21" s="3" t="s">
        <v>72</v>
      </c>
      <c r="G21" s="3" t="s">
        <v>84</v>
      </c>
      <c r="H21" s="3"/>
      <c r="I21" s="5" t="s">
        <v>17</v>
      </c>
      <c r="J21" s="3"/>
    </row>
    <row r="22" ht="61.5" customHeight="1">
      <c r="A22" s="3" t="s">
        <v>69</v>
      </c>
      <c r="B22" s="3" t="s">
        <v>85</v>
      </c>
      <c r="C22" s="3" t="s">
        <v>37</v>
      </c>
      <c r="D22" s="3" t="s">
        <v>13</v>
      </c>
      <c r="E22" s="3" t="s">
        <v>86</v>
      </c>
      <c r="F22" s="3" t="s">
        <v>87</v>
      </c>
      <c r="G22" s="3" t="s">
        <v>88</v>
      </c>
      <c r="H22" s="3"/>
      <c r="I22" s="5" t="s">
        <v>17</v>
      </c>
      <c r="J22" s="3"/>
    </row>
    <row r="23" ht="66.75" customHeight="1">
      <c r="A23" s="3" t="s">
        <v>69</v>
      </c>
      <c r="B23" s="3" t="s">
        <v>89</v>
      </c>
      <c r="C23" s="3" t="s">
        <v>12</v>
      </c>
      <c r="D23" s="3" t="s">
        <v>13</v>
      </c>
      <c r="E23" s="3" t="s">
        <v>90</v>
      </c>
      <c r="F23" s="3" t="s">
        <v>87</v>
      </c>
      <c r="G23" s="3" t="s">
        <v>91</v>
      </c>
      <c r="H23" s="3"/>
      <c r="I23" s="5" t="s">
        <v>17</v>
      </c>
      <c r="J23" s="3"/>
    </row>
    <row r="24" ht="56.25" customHeight="1">
      <c r="A24" s="3" t="s">
        <v>92</v>
      </c>
      <c r="B24" s="3" t="s">
        <v>93</v>
      </c>
      <c r="C24" s="3" t="s">
        <v>12</v>
      </c>
      <c r="D24" s="3" t="s">
        <v>13</v>
      </c>
      <c r="E24" s="3" t="s">
        <v>94</v>
      </c>
      <c r="F24" s="3" t="s">
        <v>95</v>
      </c>
      <c r="G24" s="3" t="s">
        <v>96</v>
      </c>
      <c r="H24" s="3"/>
      <c r="I24" s="5" t="s">
        <v>17</v>
      </c>
      <c r="J24" s="3"/>
    </row>
    <row r="25" ht="61.5" customHeight="1">
      <c r="A25" s="3" t="s">
        <v>92</v>
      </c>
      <c r="B25" s="3" t="s">
        <v>97</v>
      </c>
      <c r="C25" s="3" t="s">
        <v>12</v>
      </c>
      <c r="D25" s="3" t="s">
        <v>13</v>
      </c>
      <c r="E25" s="3" t="s">
        <v>98</v>
      </c>
      <c r="F25" s="3" t="s">
        <v>99</v>
      </c>
      <c r="G25" s="3" t="s">
        <v>100</v>
      </c>
      <c r="H25" s="3"/>
      <c r="I25" s="5" t="s">
        <v>17</v>
      </c>
      <c r="J25" s="3"/>
    </row>
    <row r="26" ht="63.0" customHeight="1">
      <c r="A26" s="3" t="s">
        <v>92</v>
      </c>
      <c r="B26" s="3" t="s">
        <v>101</v>
      </c>
      <c r="C26" s="3" t="s">
        <v>12</v>
      </c>
      <c r="D26" s="3" t="s">
        <v>13</v>
      </c>
      <c r="E26" s="3" t="s">
        <v>102</v>
      </c>
      <c r="F26" s="3" t="s">
        <v>103</v>
      </c>
      <c r="G26" s="3" t="s">
        <v>104</v>
      </c>
      <c r="H26" s="3"/>
      <c r="I26" s="5" t="s">
        <v>17</v>
      </c>
      <c r="J26" s="3"/>
    </row>
    <row r="27" ht="72.0" customHeight="1">
      <c r="A27" s="3" t="s">
        <v>92</v>
      </c>
      <c r="B27" s="3" t="s">
        <v>105</v>
      </c>
      <c r="C27" s="3" t="s">
        <v>12</v>
      </c>
      <c r="D27" s="3" t="s">
        <v>13</v>
      </c>
      <c r="E27" s="3" t="s">
        <v>106</v>
      </c>
      <c r="F27" s="3" t="s">
        <v>107</v>
      </c>
      <c r="G27" s="3" t="s">
        <v>108</v>
      </c>
      <c r="H27" s="3"/>
      <c r="I27" s="5" t="s">
        <v>17</v>
      </c>
      <c r="J27" s="3"/>
    </row>
    <row r="28" ht="61.5" customHeight="1">
      <c r="A28" s="3" t="s">
        <v>92</v>
      </c>
      <c r="B28" s="3" t="s">
        <v>109</v>
      </c>
      <c r="C28" s="3" t="s">
        <v>12</v>
      </c>
      <c r="D28" s="3" t="s">
        <v>13</v>
      </c>
      <c r="E28" s="3" t="s">
        <v>110</v>
      </c>
      <c r="F28" s="3" t="s">
        <v>111</v>
      </c>
      <c r="G28" s="3" t="s">
        <v>112</v>
      </c>
      <c r="H28" s="3"/>
      <c r="I28" s="5" t="s">
        <v>17</v>
      </c>
      <c r="J28" s="3"/>
    </row>
    <row r="29" ht="65.25" customHeight="1">
      <c r="A29" s="3" t="s">
        <v>92</v>
      </c>
      <c r="B29" s="3" t="s">
        <v>113</v>
      </c>
      <c r="C29" s="3" t="s">
        <v>12</v>
      </c>
      <c r="D29" s="3" t="s">
        <v>13</v>
      </c>
      <c r="E29" s="3" t="s">
        <v>114</v>
      </c>
      <c r="F29" s="3" t="s">
        <v>115</v>
      </c>
      <c r="G29" s="3" t="s">
        <v>116</v>
      </c>
      <c r="H29" s="3"/>
      <c r="I29" s="5" t="s">
        <v>17</v>
      </c>
      <c r="J29" s="3"/>
    </row>
    <row r="30" ht="57.75" customHeight="1">
      <c r="A30" s="3" t="s">
        <v>92</v>
      </c>
      <c r="B30" s="3" t="s">
        <v>117</v>
      </c>
      <c r="C30" s="3" t="s">
        <v>37</v>
      </c>
      <c r="D30" s="3" t="s">
        <v>13</v>
      </c>
      <c r="E30" s="3" t="s">
        <v>118</v>
      </c>
      <c r="F30" s="3" t="s">
        <v>115</v>
      </c>
      <c r="G30" s="3" t="s">
        <v>119</v>
      </c>
      <c r="H30" s="3"/>
      <c r="I30" s="5" t="s">
        <v>17</v>
      </c>
      <c r="J30" s="3"/>
    </row>
    <row r="31" ht="73.5" customHeight="1">
      <c r="A31" s="3" t="s">
        <v>92</v>
      </c>
      <c r="B31" s="3" t="s">
        <v>120</v>
      </c>
      <c r="C31" s="3" t="s">
        <v>37</v>
      </c>
      <c r="D31" s="3" t="s">
        <v>13</v>
      </c>
      <c r="E31" s="3" t="s">
        <v>121</v>
      </c>
      <c r="F31" s="3" t="s">
        <v>122</v>
      </c>
      <c r="G31" s="3" t="s">
        <v>123</v>
      </c>
      <c r="H31" s="3"/>
      <c r="I31" s="5" t="s">
        <v>17</v>
      </c>
      <c r="J31" s="3"/>
    </row>
    <row r="32" ht="50.25" customHeight="1">
      <c r="A32" s="3" t="s">
        <v>124</v>
      </c>
      <c r="B32" s="3" t="s">
        <v>125</v>
      </c>
      <c r="C32" s="3" t="s">
        <v>12</v>
      </c>
      <c r="D32" s="3" t="s">
        <v>13</v>
      </c>
      <c r="E32" s="3" t="s">
        <v>126</v>
      </c>
      <c r="F32" s="3" t="s">
        <v>127</v>
      </c>
      <c r="G32" s="3" t="s">
        <v>128</v>
      </c>
      <c r="H32" s="3"/>
      <c r="I32" s="7" t="s">
        <v>17</v>
      </c>
      <c r="J32" s="3"/>
    </row>
    <row r="33" ht="67.5" customHeight="1">
      <c r="A33" s="3" t="s">
        <v>129</v>
      </c>
      <c r="B33" s="3" t="s">
        <v>130</v>
      </c>
      <c r="C33" s="3" t="s">
        <v>12</v>
      </c>
      <c r="D33" s="3" t="s">
        <v>13</v>
      </c>
      <c r="E33" s="3" t="s">
        <v>131</v>
      </c>
      <c r="F33" s="3" t="s">
        <v>15</v>
      </c>
      <c r="G33" s="3" t="s">
        <v>132</v>
      </c>
      <c r="H33" s="3"/>
      <c r="I33" s="7" t="s">
        <v>17</v>
      </c>
      <c r="J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8" t="s">
        <v>133</v>
      </c>
      <c r="B1" s="8" t="s">
        <v>134</v>
      </c>
      <c r="C1" s="8" t="s">
        <v>135</v>
      </c>
      <c r="D1" s="8" t="s">
        <v>136</v>
      </c>
      <c r="E1" s="8" t="s">
        <v>137</v>
      </c>
      <c r="F1" s="8" t="s">
        <v>138</v>
      </c>
      <c r="G1" s="8" t="s">
        <v>139</v>
      </c>
      <c r="H1" s="8" t="s">
        <v>140</v>
      </c>
      <c r="I1" s="8" t="s">
        <v>137</v>
      </c>
    </row>
    <row r="2" ht="75.75" customHeight="1">
      <c r="A2" s="9">
        <f>COUNTIF(TestCases!B2:B60,"*")</f>
        <v>32</v>
      </c>
      <c r="B2" s="9">
        <f>COUNTIF(TestCases!I2:O60,"Pass")</f>
        <v>32</v>
      </c>
      <c r="C2" s="9">
        <f>COUNTIF(TestCases!I2:I60,"Fail")</f>
        <v>0</v>
      </c>
      <c r="D2" s="9">
        <f>COUNTIF(TestCases!I2:I60,"Blocked")</f>
        <v>0</v>
      </c>
      <c r="E2" s="9">
        <f>B2+C2</f>
        <v>32</v>
      </c>
      <c r="F2" s="10">
        <f>(D2/A2)*100</f>
        <v>0</v>
      </c>
      <c r="G2" s="11">
        <f>(C2/A2)*100</f>
        <v>0</v>
      </c>
      <c r="H2" s="10">
        <f>(B2/A2)*100</f>
        <v>100</v>
      </c>
      <c r="I2" s="11">
        <f>((B2+C2)/A2)*100</f>
        <v>100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2026-01-29T21:46:52Z</dcterms:created>
  <dc:creator>openpyxl</dc:creator>
</cp:coreProperties>
</file>